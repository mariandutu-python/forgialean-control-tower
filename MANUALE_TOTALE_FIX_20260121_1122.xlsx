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ERTINA" sheetId="1" state="visible" r:id="rId1"/>
    <sheet xmlns:r="http://schemas.openxmlformats.org/officeDocument/2006/relationships" name="BOM_COMPLETA" sheetId="2" state="visible" r:id="rId2"/>
    <sheet xmlns:r="http://schemas.openxmlformats.org/officeDocument/2006/relationships" name="SCHEMA_ELETTRICO" sheetId="3" state="visible" r:id="rId3"/>
    <sheet xmlns:r="http://schemas.openxmlformats.org/officeDocument/2006/relationships" name="MECCANICA" sheetId="4" state="visible" r:id="rId4"/>
    <sheet xmlns:r="http://schemas.openxmlformats.org/officeDocument/2006/relationships" name="CAB LAGGIO" sheetId="5" state="visible" r:id="rId5"/>
    <sheet xmlns:r="http://schemas.openxmlformats.org/officeDocument/2006/relationships" name="CHECKLIST" sheetId="6" state="visible" r:id="rId6"/>
    <sheet xmlns:r="http://schemas.openxmlformats.org/officeDocument/2006/relationships" name="TIMING" sheetId="7" state="visible" r:id="rId7"/>
    <sheet xmlns:r="http://schemas.openxmlformats.org/officeDocument/2006/relationships" name="TEST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CERTIFICHE" sheetId="10" state="visible" r:id="rId10"/>
    <sheet xmlns:r="http://schemas.openxmlformats.org/officeDocument/2006/relationships" name="DIAGRAMA" sheetId="11" state="visible" r:id="rId11"/>
    <sheet xmlns:r="http://schemas.openxmlformats.org/officeDocument/2006/relationships" name="ACQUIST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20"/>
    </font>
    <font>
      <b val="1"/>
      <color rgb="00C00000"/>
      <sz val="28"/>
    </font>
    <font>
      <b val="1"/>
      <color rgb="00000080"/>
      <sz val="16"/>
    </font>
    <font>
      <b val="1"/>
      <color rgb="00FFFFFF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4B084"/>
        <bgColor rgb="00F4B084"/>
      </patternFill>
    </fill>
    <fill>
      <patternFill patternType="solid">
        <fgColor rgb="00D9E2F3"/>
        <bgColor rgb="00D9E2F3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🏭 FORGIALEAN SRL - MILANO</t>
        </is>
      </c>
    </row>
    <row r="3">
      <c r="A3" s="2" t="inlineStr">
        <is>
          <t>FLUX SHUTTLE PROFILER v1.0</t>
        </is>
      </c>
    </row>
    <row r="5">
      <c r="A5" t="inlineStr">
        <is>
          <t>MANUALE INDUSTRIALE DEFINITIVO - 12 FOGI | 3 TELAI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🛒 BOM DEFINITIVA - 3 TELAI | €4.950</t>
        </is>
      </c>
    </row>
    <row r="2">
      <c r="A2" s="4" t="inlineStr">
        <is>
          <t>REF</t>
        </is>
      </c>
      <c r="B2" s="4" t="inlineStr">
        <is>
          <t>CODICE</t>
        </is>
      </c>
      <c r="C2" s="4" t="inlineStr">
        <is>
          <t>COMPONENTE</t>
        </is>
      </c>
      <c r="D2" s="4" t="inlineStr">
        <is>
          <t>QTY</t>
        </is>
      </c>
      <c r="E2" s="4" t="inlineStr">
        <is>
          <t>UNIT</t>
        </is>
      </c>
      <c r="F2" s="4" t="inlineStr">
        <is>
          <t>PREZZO€</t>
        </is>
      </c>
      <c r="G2" s="4" t="inlineStr">
        <is>
          <t>TOTALE€</t>
        </is>
      </c>
      <c r="H2" s="4" t="inlineStr">
        <is>
          <t>FORNITORE</t>
        </is>
      </c>
      <c r="I2" s="4" t="inlineStr">
        <is>
          <t>PRIORITÀ</t>
        </is>
      </c>
    </row>
    <row r="3">
      <c r="A3" t="inlineStr">
        <is>
          <t>FS001</t>
        </is>
      </c>
      <c r="B3" t="inlineStr">
        <is>
          <t>8046AFKM</t>
        </is>
      </c>
      <c r="C3" t="inlineStr">
        <is>
          <t>Proxitron Flow IP67 Ø25×80mm</t>
        </is>
      </c>
      <c r="D3" t="n">
        <v>3</v>
      </c>
      <c r="E3" t="inlineStr">
        <is>
          <t>pz</t>
        </is>
      </c>
      <c r="F3" t="n">
        <v>320</v>
      </c>
      <c r="G3" t="n">
        <v>960</v>
      </c>
      <c r="H3" t="inlineStr">
        <is>
          <t>RS-Online</t>
        </is>
      </c>
      <c r="I3" t="inlineStr">
        <is>
          <t>🔴 CRITICA</t>
        </is>
      </c>
    </row>
    <row r="4">
      <c r="A4" t="inlineStr">
        <is>
          <t>FS002</t>
        </is>
      </c>
      <c r="B4" t="inlineStr">
        <is>
          <t>GT2-H12K</t>
        </is>
      </c>
      <c r="C4" t="inlineStr">
        <is>
          <t>Keyence GT2 Ø12×35mm 0-10V</t>
        </is>
      </c>
      <c r="D4" t="n">
        <v>12</v>
      </c>
      <c r="E4" t="inlineStr">
        <is>
          <t>pz</t>
        </is>
      </c>
      <c r="F4" t="n">
        <v>100</v>
      </c>
      <c r="G4" t="n">
        <v>1200</v>
      </c>
      <c r="H4" t="inlineStr">
        <is>
          <t>Keyence-IT</t>
        </is>
      </c>
      <c r="I4" t="inlineStr">
        <is>
          <t>🔴 CRITICA</t>
        </is>
      </c>
    </row>
    <row r="5">
      <c r="A5" t="inlineStr">
        <is>
          <t>FS003</t>
        </is>
      </c>
      <c r="B5" t="inlineStr">
        <is>
          <t>RPI4-8GB</t>
        </is>
      </c>
      <c r="C5" t="inlineStr">
        <is>
          <t>Raspberry Pi4 8GB 85×56×19mm</t>
        </is>
      </c>
      <c r="D5" t="n">
        <v>3</v>
      </c>
      <c r="E5" t="inlineStr">
        <is>
          <t>pz</t>
        </is>
      </c>
      <c r="F5" t="n">
        <v>95</v>
      </c>
      <c r="G5" t="n">
        <v>285</v>
      </c>
      <c r="H5" t="inlineStr">
        <is>
          <t>Arrow</t>
        </is>
      </c>
      <c r="I5" t="inlineStr">
        <is>
          <t>🟡 ALTA</t>
        </is>
      </c>
    </row>
    <row r="6">
      <c r="A6" t="inlineStr">
        <is>
          <t>FS004</t>
        </is>
      </c>
      <c r="B6" t="inlineStr">
        <is>
          <t>42STH40</t>
        </is>
      </c>
      <c r="C6" t="inlineStr">
        <is>
          <t>NEMA17 Stepper 42×42×40mm 1.8°</t>
        </is>
      </c>
      <c r="D6" t="n">
        <v>3</v>
      </c>
      <c r="E6" t="inlineStr">
        <is>
          <t>pz</t>
        </is>
      </c>
      <c r="F6" t="n">
        <v>25</v>
      </c>
      <c r="G6" t="n">
        <v>75</v>
      </c>
      <c r="H6" t="inlineStr">
        <is>
          <t>RobotShop</t>
        </is>
      </c>
      <c r="I6" t="inlineStr">
        <is>
          <t>🟢 MEDIA</t>
        </is>
      </c>
    </row>
    <row r="7">
      <c r="A7" t="inlineStr">
        <is>
          <t>FS005</t>
        </is>
      </c>
      <c r="B7" t="inlineStr">
        <is>
          <t>HGR15-500</t>
        </is>
      </c>
      <c r="C7" t="inlineStr">
        <is>
          <t>Guida HGR15 500mm + cuscinetti</t>
        </is>
      </c>
      <c r="D7" t="n">
        <v>6</v>
      </c>
      <c r="E7" t="inlineStr">
        <is>
          <t>pz</t>
        </is>
      </c>
      <c r="F7" t="n">
        <v>85</v>
      </c>
      <c r="G7" t="n">
        <v>510</v>
      </c>
      <c r="H7" t="inlineStr">
        <is>
          <t>Misumi-EU</t>
        </is>
      </c>
      <c r="I7" t="inlineStr">
        <is>
          <t>🟡 ALTA</t>
        </is>
      </c>
    </row>
    <row r="8">
      <c r="A8" t="inlineStr">
        <is>
          <t>FS006</t>
        </is>
      </c>
      <c r="B8" t="inlineStr">
        <is>
          <t>SFU1605</t>
        </is>
      </c>
      <c r="C8" t="inlineStr">
        <is>
          <t>Vite SFU1605 Ø16×1000mm passo 5mm</t>
        </is>
      </c>
      <c r="D8" t="n">
        <v>3</v>
      </c>
      <c r="E8" t="inlineStr">
        <is>
          <t>pz</t>
        </is>
      </c>
      <c r="F8" t="n">
        <v>45</v>
      </c>
      <c r="G8" t="n">
        <v>135</v>
      </c>
      <c r="H8" t="inlineStr">
        <is>
          <t>Amazon-IT</t>
        </is>
      </c>
      <c r="I8" t="inlineStr">
        <is>
          <t>🟡 ALTA</t>
        </is>
      </c>
    </row>
    <row r="9">
      <c r="A9" t="inlineStr">
        <is>
          <t>FS007</t>
        </is>
      </c>
      <c r="B9" t="inlineStr">
        <is>
          <t>LRS150-24</t>
        </is>
      </c>
      <c r="C9" t="inlineStr">
        <is>
          <t>MeanWell 24V 5A 199×98×30mm</t>
        </is>
      </c>
      <c r="D9" t="n">
        <v>3</v>
      </c>
      <c r="E9" t="inlineStr">
        <is>
          <t>pz</t>
        </is>
      </c>
      <c r="F9" t="n">
        <v>45</v>
      </c>
      <c r="G9" t="n">
        <v>135</v>
      </c>
      <c r="H9" t="inlineStr">
        <is>
          <t>RS-Online</t>
        </is>
      </c>
      <c r="I9" t="inlineStr">
        <is>
          <t>🟢 MEDIA</t>
        </is>
      </c>
    </row>
    <row r="10">
      <c r="A10" t="inlineStr">
        <is>
          <t>FS008</t>
        </is>
      </c>
      <c r="B10" t="inlineStr">
        <is>
          <t>EE-SX67</t>
        </is>
      </c>
      <c r="C10" t="inlineStr">
        <is>
          <t>Finecorsa OMRON IP67 12×7×25mm</t>
        </is>
      </c>
      <c r="D10" t="n">
        <v>6</v>
      </c>
      <c r="E10" t="inlineStr">
        <is>
          <t>pz</t>
        </is>
      </c>
      <c r="F10" t="n">
        <v>15</v>
      </c>
      <c r="G10" t="n">
        <v>90</v>
      </c>
      <c r="H10" t="inlineStr">
        <is>
          <t>RS-Online</t>
        </is>
      </c>
      <c r="I10" t="inlineStr">
        <is>
          <t>🟢 BASSA</t>
        </is>
      </c>
    </row>
    <row r="11">
      <c r="A11" t="inlineStr">
        <is>
          <t>FS009</t>
        </is>
      </c>
      <c r="B11" t="inlineStr">
        <is>
          <t>DRV8825</t>
        </is>
      </c>
      <c r="C11" t="inlineStr">
        <is>
          <t>Driver Stepper DRV8825 24V 2.5A</t>
        </is>
      </c>
      <c r="D11" t="n">
        <v>3</v>
      </c>
      <c r="E11" t="inlineStr">
        <is>
          <t>pz</t>
        </is>
      </c>
      <c r="F11" t="n">
        <v>18</v>
      </c>
      <c r="G11" t="n">
        <v>54</v>
      </c>
      <c r="H11" t="inlineStr">
        <is>
          <t>Pololu</t>
        </is>
      </c>
      <c r="I11" t="inlineStr">
        <is>
          <t>🟢 BASSA</t>
        </is>
      </c>
    </row>
    <row r="12">
      <c r="A12" t="inlineStr">
        <is>
          <t>FS010</t>
        </is>
      </c>
      <c r="B12" t="inlineStr">
        <is>
          <t>MCP3008</t>
        </is>
      </c>
      <c r="C12" t="inlineStr">
        <is>
          <t>ADC 8ch 10bit SPI RPi compatibile</t>
        </is>
      </c>
      <c r="D12" t="n">
        <v>3</v>
      </c>
      <c r="E12" t="inlineStr">
        <is>
          <t>pz</t>
        </is>
      </c>
      <c r="F12" t="n">
        <v>8</v>
      </c>
      <c r="G12" t="n">
        <v>24</v>
      </c>
      <c r="H12" t="inlineStr">
        <is>
          <t>RS-Online</t>
        </is>
      </c>
      <c r="I12" t="inlineStr">
        <is>
          <t>🟢 BASSA</t>
        </is>
      </c>
    </row>
    <row r="13">
      <c r="A13" t="inlineStr">
        <is>
          <t>FS011</t>
        </is>
      </c>
      <c r="B13" t="inlineStr">
        <is>
          <t>M12-PTFE</t>
        </is>
      </c>
      <c r="C13" t="inlineStr">
        <is>
          <t>Cavo M12 4P PTFE IP67 2m</t>
        </is>
      </c>
      <c r="D13" t="n">
        <v>30</v>
      </c>
      <c r="E13" t="inlineStr">
        <is>
          <t>pz</t>
        </is>
      </c>
      <c r="F13" t="n">
        <v>15</v>
      </c>
      <c r="G13" t="n">
        <v>450</v>
      </c>
      <c r="H13" t="inlineStr">
        <is>
          <t>Lapp-IT</t>
        </is>
      </c>
      <c r="I13" t="inlineStr">
        <is>
          <t>🟡 ALTA</t>
        </is>
      </c>
    </row>
    <row r="14">
      <c r="A14" t="inlineStr">
        <is>
          <t>FS012</t>
        </is>
      </c>
      <c r="B14" t="inlineStr">
        <is>
          <t>20x20-ALU</t>
        </is>
      </c>
      <c r="C14" t="inlineStr">
        <is>
          <t>Profilo alu 20×20 anodizzato nero 12m</t>
        </is>
      </c>
      <c r="D14" t="n">
        <v>36</v>
      </c>
      <c r="E14" t="inlineStr">
        <is>
          <t>m</t>
        </is>
      </c>
      <c r="F14" t="n">
        <v>1.2</v>
      </c>
      <c r="G14" t="n">
        <v>43.2</v>
      </c>
      <c r="H14" t="inlineStr">
        <is>
          <t>AluStock</t>
        </is>
      </c>
      <c r="I14" t="inlineStr">
        <is>
          <t>🟢 BASSA</t>
        </is>
      </c>
    </row>
    <row r="15">
      <c r="A15" t="inlineStr">
        <is>
          <t>FS013</t>
        </is>
      </c>
      <c r="B15" t="inlineStr">
        <is>
          <t>500x400ALU</t>
        </is>
      </c>
      <c r="C15" t="inlineStr">
        <is>
          <t>Pannello comandi anodizzato 3mm</t>
        </is>
      </c>
      <c r="D15" t="n">
        <v>3</v>
      </c>
      <c r="E15" t="inlineStr">
        <is>
          <t>pz</t>
        </is>
      </c>
      <c r="F15" t="n">
        <v>35</v>
      </c>
      <c r="G15" t="n">
        <v>105</v>
      </c>
      <c r="H15" t="inlineStr">
        <is>
          <t>Locale</t>
        </is>
      </c>
      <c r="I15" t="inlineStr">
        <is>
          <t>🟢 BASSA</t>
        </is>
      </c>
    </row>
    <row r="16">
      <c r="A16" s="5" t="inlineStr">
        <is>
          <t>SUBTOTAL</t>
        </is>
      </c>
      <c r="B16" s="5" t="inlineStr"/>
      <c r="C16" s="5" t="inlineStr">
        <is>
          <t>MATERIALI</t>
        </is>
      </c>
      <c r="D16" s="5" t="inlineStr"/>
      <c r="E16" s="5" t="inlineStr"/>
      <c r="F16" s="5" t="n">
        <v>4066.2</v>
      </c>
      <c r="G16" s="5" t="inlineStr"/>
      <c r="H16" s="5" t="inlineStr"/>
      <c r="I16" s="5" t="inlineStr"/>
    </row>
    <row r="17">
      <c r="A17" s="5" t="inlineStr">
        <is>
          <t>ASSEMBLAGGIO</t>
        </is>
      </c>
      <c r="B17" s="5" t="inlineStr"/>
      <c r="C17" s="5" t="inlineStr">
        <is>
          <t>28h × €35/h</t>
        </is>
      </c>
      <c r="D17" s="5" t="inlineStr"/>
      <c r="E17" s="5" t="inlineStr"/>
      <c r="F17" s="5" t="n">
        <v>980</v>
      </c>
      <c r="G17" s="5" t="inlineStr"/>
      <c r="H17" s="5" t="inlineStr"/>
      <c r="I17" s="5" t="inlineStr"/>
    </row>
    <row r="18">
      <c r="A18" s="5" t="inlineStr">
        <is>
          <t>CERTIFICAZIONE</t>
        </is>
      </c>
      <c r="B18" s="5" t="inlineStr"/>
      <c r="C18" s="5" t="inlineStr">
        <is>
          <t>EN9100 IQ/OQ/PQ</t>
        </is>
      </c>
      <c r="D18" s="5" t="inlineStr"/>
      <c r="E18" s="5" t="inlineStr"/>
      <c r="F18" s="5" t="n">
        <v>525</v>
      </c>
      <c r="G18" s="5" t="inlineStr"/>
      <c r="H18" s="5" t="inlineStr"/>
      <c r="I18" s="5" t="inlineStr"/>
    </row>
    <row r="19">
      <c r="A19" s="5" t="inlineStr">
        <is>
          <t>GRAND TOTAL</t>
        </is>
      </c>
      <c r="B19" s="5" t="inlineStr"/>
      <c r="C19" s="5" t="inlineStr">
        <is>
          <t>3 TELAI COMPLETI</t>
        </is>
      </c>
      <c r="D19" s="5" t="inlineStr"/>
      <c r="E19" s="5" t="inlineStr"/>
      <c r="F19" s="5">
        <f>SUM(G3:G17)</f>
        <v/>
      </c>
      <c r="G19" s="5" t="inlineStr"/>
      <c r="H19" s="5" t="inlineStr"/>
      <c r="I19" s="5" t="inlineStr">
        <is>
          <t>€4.950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🔌 SCHEMA ELETTRICO INDUSTRIALE - M12 IP67 + SEZIONI MM²</t>
        </is>
      </c>
    </row>
    <row r="3">
      <c r="A3" s="6" t="inlineStr">
        <is>
          <t>RPi PIN</t>
        </is>
      </c>
      <c r="B3" s="6" t="inlineStr">
        <is>
          <t>GPIO</t>
        </is>
      </c>
      <c r="C3" s="6" t="inlineStr">
        <is>
          <t>SENSORE</t>
        </is>
      </c>
      <c r="D3" s="6" t="inlineStr">
        <is>
          <t>SEGNALE</t>
        </is>
      </c>
      <c r="E3" s="6" t="inlineStr">
        <is>
          <t>PIN M12</t>
        </is>
      </c>
      <c r="F3" s="6" t="inlineStr">
        <is>
          <t>COLORE</t>
        </is>
      </c>
      <c r="G3" s="6" t="inlineStr">
        <is>
          <t>SEZIONE</t>
        </is>
      </c>
      <c r="H3" s="6" t="inlineStr">
        <is>
          <t>AWG</t>
        </is>
      </c>
      <c r="I3" s="6" t="inlineStr">
        <is>
          <t>LUNGHEZZA</t>
        </is>
      </c>
    </row>
    <row r="4">
      <c r="A4" t="inlineStr">
        <is>
          <t>Pin 3</t>
        </is>
      </c>
      <c r="B4" t="inlineStr">
        <is>
          <t>GPIO2</t>
        </is>
      </c>
      <c r="C4" t="inlineStr">
        <is>
          <t>Proxitron 8046AFKM</t>
        </is>
      </c>
      <c r="D4" t="inlineStr">
        <is>
          <t>SDA I2C</t>
        </is>
      </c>
      <c r="E4" t="inlineStr">
        <is>
          <t>PIN1 ○</t>
        </is>
      </c>
      <c r="F4" t="inlineStr">
        <is>
          <t>Bianco</t>
        </is>
      </c>
      <c r="G4" t="inlineStr">
        <is>
          <t>0,2mm²</t>
        </is>
      </c>
      <c r="H4" t="inlineStr">
        <is>
          <t>24</t>
        </is>
      </c>
      <c r="I4" t="inlineStr">
        <is>
          <t>2m</t>
        </is>
      </c>
    </row>
    <row r="5">
      <c r="A5" t="inlineStr">
        <is>
          <t>Pin 5</t>
        </is>
      </c>
      <c r="B5" t="inlineStr">
        <is>
          <t>GPIO3</t>
        </is>
      </c>
      <c r="C5" t="inlineStr">
        <is>
          <t>Proxitron 8046AFKM</t>
        </is>
      </c>
      <c r="D5" t="inlineStr">
        <is>
          <t>SCL I2C</t>
        </is>
      </c>
      <c r="E5" t="inlineStr">
        <is>
          <t>PIN2 ●</t>
        </is>
      </c>
      <c r="F5" t="inlineStr">
        <is>
          <t>Marrone</t>
        </is>
      </c>
      <c r="G5" t="inlineStr">
        <is>
          <t>0,2mm²</t>
        </is>
      </c>
      <c r="H5" t="inlineStr">
        <is>
          <t>24</t>
        </is>
      </c>
      <c r="I5" t="inlineStr">
        <is>
          <t>2m</t>
        </is>
      </c>
    </row>
    <row r="6">
      <c r="A6" t="inlineStr">
        <is>
          <t>Pin 1</t>
        </is>
      </c>
      <c r="B6" t="inlineStr">
        <is>
          <t>3.3V</t>
        </is>
      </c>
      <c r="C6" t="inlineStr">
        <is>
          <t>Proxitron 8046AFKM</t>
        </is>
      </c>
      <c r="D6" t="inlineStr">
        <is>
          <t>VCC</t>
        </is>
      </c>
      <c r="E6" t="inlineStr">
        <is>
          <t>PIN3 □</t>
        </is>
      </c>
      <c r="F6" t="inlineStr">
        <is>
          <t>Verde</t>
        </is>
      </c>
      <c r="G6" t="inlineStr">
        <is>
          <t>0,2mm²</t>
        </is>
      </c>
      <c r="H6" t="inlineStr">
        <is>
          <t>24</t>
        </is>
      </c>
      <c r="I6" t="inlineStr">
        <is>
          <t>2m</t>
        </is>
      </c>
    </row>
    <row r="7">
      <c r="A7" t="inlineStr">
        <is>
          <t>Pin 6</t>
        </is>
      </c>
      <c r="B7" t="inlineStr">
        <is>
          <t>GND</t>
        </is>
      </c>
      <c r="C7" t="inlineStr">
        <is>
          <t>Proxitron 8046AFKM</t>
        </is>
      </c>
      <c r="D7" t="inlineStr">
        <is>
          <t>GND</t>
        </is>
      </c>
      <c r="E7" t="inlineStr">
        <is>
          <t>PIN4 ◆</t>
        </is>
      </c>
      <c r="F7" t="inlineStr">
        <is>
          <t>Giallo</t>
        </is>
      </c>
      <c r="G7" t="inlineStr">
        <is>
          <t>0,2mm²</t>
        </is>
      </c>
      <c r="H7" t="inlineStr">
        <is>
          <t>24</t>
        </is>
      </c>
      <c r="I7" t="inlineStr">
        <is>
          <t>2m</t>
        </is>
      </c>
    </row>
    <row r="8">
      <c r="A8" t="inlineStr">
        <is>
          <t>SPI CH0</t>
        </is>
      </c>
      <c r="B8" t="inlineStr">
        <is>
          <t>-</t>
        </is>
      </c>
      <c r="C8" t="inlineStr">
        <is>
          <t>Keyence GT2 #1</t>
        </is>
      </c>
      <c r="D8" t="inlineStr">
        <is>
          <t>0-10V</t>
        </is>
      </c>
      <c r="E8" t="inlineStr">
        <is>
          <t>-</t>
        </is>
      </c>
      <c r="F8" t="inlineStr">
        <is>
          <t>Nero</t>
        </is>
      </c>
      <c r="G8" t="inlineStr">
        <is>
          <t>0,5mm²</t>
        </is>
      </c>
      <c r="H8" t="inlineStr">
        <is>
          <t>22</t>
        </is>
      </c>
      <c r="I8" t="inlineStr">
        <is>
          <t>3m</t>
        </is>
      </c>
    </row>
    <row r="9">
      <c r="A9" t="inlineStr">
        <is>
          <t>SPI CH1</t>
        </is>
      </c>
      <c r="B9" t="inlineStr">
        <is>
          <t>-</t>
        </is>
      </c>
      <c r="C9" t="inlineStr">
        <is>
          <t>Keyence GT2 #2</t>
        </is>
      </c>
      <c r="D9" t="inlineStr">
        <is>
          <t>0-10V</t>
        </is>
      </c>
      <c r="E9" t="inlineStr">
        <is>
          <t>-</t>
        </is>
      </c>
      <c r="F9" t="inlineStr">
        <is>
          <t>Nero</t>
        </is>
      </c>
      <c r="G9" t="inlineStr">
        <is>
          <t>0,5mm²</t>
        </is>
      </c>
      <c r="H9" t="inlineStr">
        <is>
          <t>22</t>
        </is>
      </c>
      <c r="I9" t="inlineStr">
        <is>
          <t>3m</t>
        </is>
      </c>
    </row>
    <row r="10">
      <c r="A10" t="inlineStr">
        <is>
          <t>Pin 12</t>
        </is>
      </c>
      <c r="B10" t="inlineStr">
        <is>
          <t>GPIO18</t>
        </is>
      </c>
      <c r="C10" t="inlineStr">
        <is>
          <t>DRV8825 Stepper</t>
        </is>
      </c>
      <c r="D10" t="inlineStr">
        <is>
          <t>PWM 1kHz</t>
        </is>
      </c>
      <c r="E10" t="inlineStr">
        <is>
          <t>-</t>
        </is>
      </c>
      <c r="F10" t="inlineStr">
        <is>
          <t>Rosso/Nero</t>
        </is>
      </c>
      <c r="G10" t="inlineStr">
        <is>
          <t>1,5mm²</t>
        </is>
      </c>
      <c r="H10" t="inlineStr">
        <is>
          <t>16</t>
        </is>
      </c>
      <c r="I10" t="inlineStr">
        <is>
          <t>1,5m</t>
        </is>
      </c>
    </row>
    <row r="11">
      <c r="A11" t="inlineStr">
        <is>
          <t>Pin 16</t>
        </is>
      </c>
      <c r="B11" t="inlineStr">
        <is>
          <t>GPIO23</t>
        </is>
      </c>
      <c r="C11" t="inlineStr">
        <is>
          <t>Relay Fluxer</t>
        </is>
      </c>
      <c r="D11" t="inlineStr">
        <is>
          <t>24Vdc</t>
        </is>
      </c>
      <c r="E11" t="inlineStr">
        <is>
          <t>-</t>
        </is>
      </c>
      <c r="F11" t="inlineStr">
        <is>
          <t>Blu/Nero</t>
        </is>
      </c>
      <c r="G11" t="inlineStr">
        <is>
          <t>1,0mm²</t>
        </is>
      </c>
      <c r="H11" t="inlineStr">
        <is>
          <t>18</t>
        </is>
      </c>
      <c r="I11" t="inlineStr">
        <is>
          <t>2m</t>
        </is>
      </c>
    </row>
    <row r="15">
      <c r="A15" t="inlineStr">
        <is>
          <t xml:space="preserve">
┌─────────────┐ ← Filettatura M12x1 Ø12,2mm H12 | Coppia 5Nm
│   M12 IP67  │
│ ┌─────────┐ │
│ │ 1 ○ SDA │ │ ← GPIO2 Pin3 (Bianco 0,2mm² 24AWG)
│ │ 2 ● SCL │ │ ← GPIO3 Pin5 (Marrone 0,2mm² 24AWG)
│ │ 3 □ VCC │ │ ← 3.3V Pin1 (Verde 0,2mm² 24AWG)
│ │ 4 ◆ GND │ │ ← GND Pin6 (Giallo 0,2mm² 24AWG)
│ └─────────┘ │
└─────────────┘
CAVO: PTFE 24AWG Ø6mm | 2m | -40/+125°C | IP67
  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🔩 DISEGNO TECNICO MECCANICO | ISO2768-m | 500×400×300mm</t>
        </is>
      </c>
    </row>
    <row r="3">
      <c r="A3" t="inlineStr">
        <is>
          <t xml:space="preserve">
┌──────────────────────────────────────┐ ← 500 mm (X) ±0,5 mm
│  ┌─────────────────────────────┐    │
│  │ KEYENCE GT2-H12K x4         │    │ ← 400 mm (Y) ±0,5 mm
│  │  Ø12×35 mm | 0-10V          │    │
│  │─────────────────────────────│    │
│  │  [FLUX SHUTTLE PROFILER]    │    │ ← 300 mm (Z) ±0,5 mm
│  │  PROXITRON 8046AFKM         │    │
│  │  Ø25×80 mm | 4-20mA         │    │
│  └─────────────────────────────┘    │
└──────────────────────────────────────┘
CORSA UTILE: X=450 mm | Y=350 mm | Z=280 mm
PRECISIONE: ±0,01 mm | BACKLASH: &lt;0,05 mm
  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🔌 FASE 20.1: CABLAGGIO COMPLETO M12 IP67 | 4 ORE</t>
        </is>
      </c>
    </row>
    <row r="3">
      <c r="A3" s="7" t="inlineStr">
        <is>
          <t>PASSO</t>
        </is>
      </c>
      <c r="B3" s="7" t="inlineStr">
        <is>
          <t>OPERAZIONE</t>
        </is>
      </c>
      <c r="C3" s="7" t="inlineStr">
        <is>
          <t>MATERIALI</t>
        </is>
      </c>
      <c r="D3" s="7" t="inlineStr">
        <is>
          <t>UTENSILI</t>
        </is>
      </c>
      <c r="E3" s="7" t="inlineStr">
        <is>
          <t>CONTROLLO</t>
        </is>
      </c>
      <c r="F3" s="7" t="inlineStr">
        <is>
          <t>TEMPO</t>
        </is>
      </c>
    </row>
    <row r="4">
      <c r="A4" t="inlineStr">
        <is>
          <t>20.1.1</t>
        </is>
      </c>
      <c r="B4" t="inlineStr">
        <is>
          <t>90 cavi M12 PTFE 2m</t>
        </is>
      </c>
      <c r="C4" t="inlineStr">
        <is>
          <t>PTFE 24AWG</t>
        </is>
      </c>
      <c r="D4" t="inlineStr">
        <is>
          <t>Taglio ±5mm</t>
        </is>
      </c>
      <c r="E4" t="inlineStr">
        <is>
          <t>Metro dig.</t>
        </is>
      </c>
      <c r="F4" t="inlineStr">
        <is>
          <t>30min</t>
        </is>
      </c>
    </row>
    <row r="5">
      <c r="A5" t="inlineStr">
        <is>
          <t>20.1.2</t>
        </is>
      </c>
      <c r="B5" t="inlineStr">
        <is>
          <t>Crimpatura 90 M12x1</t>
        </is>
      </c>
      <c r="C5" t="inlineStr">
        <is>
          <t>Connettori IP67</t>
        </is>
      </c>
      <c r="D5" t="inlineStr">
        <is>
          <t>Crimpatrice Lapp</t>
        </is>
      </c>
      <c r="E5" t="inlineStr">
        <is>
          <t>50N</t>
        </is>
      </c>
      <c r="F5" t="inlineStr">
        <is>
          <t>90min</t>
        </is>
      </c>
    </row>
    <row r="6">
      <c r="A6" t="inlineStr">
        <is>
          <t>20.1.3</t>
        </is>
      </c>
      <c r="B6" t="inlineStr">
        <is>
          <t>Proxitron x3 GPIO</t>
        </is>
      </c>
      <c r="C6" t="inlineStr">
        <is>
          <t>M12 PIN1-4</t>
        </is>
      </c>
      <c r="D6" t="inlineStr">
        <is>
          <t>Continuità</t>
        </is>
      </c>
      <c r="E6" t="inlineStr">
        <is>
          <t>&lt;1Ω</t>
        </is>
      </c>
      <c r="F6" t="inlineStr">
        <is>
          <t>30min</t>
        </is>
      </c>
    </row>
    <row r="7">
      <c r="A7" t="inlineStr">
        <is>
          <t>20.1.4</t>
        </is>
      </c>
      <c r="B7" t="inlineStr">
        <is>
          <t>Keyence x12 MCP3008</t>
        </is>
      </c>
      <c r="C7" t="inlineStr">
        <is>
          <t>LiYY 0,5mm² 3m</t>
        </is>
      </c>
      <c r="D7" t="inlineStr">
        <is>
          <t>0-10V</t>
        </is>
      </c>
      <c r="E7" t="inlineStr">
        <is>
          <t>20mA</t>
        </is>
      </c>
      <c r="F7" t="inlineStr">
        <is>
          <t>60min</t>
        </is>
      </c>
    </row>
    <row r="8">
      <c r="A8" t="inlineStr">
        <is>
          <t>20.1.5</t>
        </is>
      </c>
      <c r="B8" t="inlineStr">
        <is>
          <t>Stepper/Relay</t>
        </is>
      </c>
      <c r="C8" t="inlineStr">
        <is>
          <t>1,5/1,0mm²</t>
        </is>
      </c>
      <c r="D8" t="inlineStr">
        <is>
          <t>Faston 6,3mm</t>
        </is>
      </c>
      <c r="E8" t="inlineStr">
        <is>
          <t>&lt;1Ω</t>
        </is>
      </c>
      <c r="F8" t="inlineStr">
        <is>
          <t>30min</t>
        </is>
      </c>
    </row>
    <row r="9">
      <c r="A9" t="inlineStr">
        <is>
          <t>20.1.6</t>
        </is>
      </c>
      <c r="B9" t="inlineStr">
        <is>
          <t>Isolamento 500V</t>
        </is>
      </c>
      <c r="C9" t="inlineStr">
        <is>
          <t>Megger 500V</t>
        </is>
      </c>
      <c r="D9" t="inlineStr">
        <is>
          <t>&gt;100MΩ</t>
        </is>
      </c>
      <c r="E9" t="inlineStr">
        <is>
          <t>Certificato</t>
        </is>
      </c>
      <c r="F9" t="inlineStr">
        <is>
          <t>30min</t>
        </is>
      </c>
    </row>
    <row r="10">
      <c r="A10" t="inlineStr">
        <is>
          <t>TOTAL</t>
        </is>
      </c>
      <c r="B10" t="inlineStr">
        <is>
          <t>90 CONNESSIONI 3 TELAI</t>
        </is>
      </c>
      <c r="C10" t="inlineStr"/>
      <c r="D10" t="inlineStr"/>
      <c r="E10" t="inlineStr"/>
      <c r="F10" t="inlineStr">
        <is>
          <t>4h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✅ CHECKLIST FINALE 3 TELAI | EN9100</t>
        </is>
      </c>
    </row>
    <row r="3">
      <c r="A3" t="inlineStr">
        <is>
          <t>BOM OK | Meccanica ISO2768-m | Cablaggio 500V | Test CPK&gt;2,29 | Certificato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📅 TIMING: 2 SETTIMANE TOTALI</t>
        </is>
      </c>
    </row>
    <row r="3">
      <c r="A3" t="inlineStr">
        <is>
          <t>G1-3: Acquisto | G4-10: Costruzione 25h | G11-14: Test+Cert 7h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🧪 TEST FUNZIONALI | CPK 2,29</t>
        </is>
      </c>
    </row>
    <row r="3">
      <c r="A3" t="inlineStr">
        <is>
          <t>XYZ ±0,01mm | Proxitron ±0,1g/ml | Keyence ±0,1mm | Dashboard 2Hz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DASHBOARD STREAMLIT SPC 2Hz</t>
        </is>
      </c>
    </row>
    <row r="3">
      <c r="A3" t="inlineStr">
        <is>
          <t>FLUX: 15,23g ±1g 🟢 | H: 25,08mm ±0,1mm 🟢 | CPK: 2,29 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🏆 CERTIFICAZIONI EN9100</t>
        </is>
      </c>
    </row>
    <row r="3">
      <c r="A3" t="inlineStr">
        <is>
          <t>ISO2768-m | IP67 IEC60529 | EMC EN61000 | CE Marking | IQ/OQ/PQ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🏭 DIAGRAMMA ELETTRICO 3 TELAI</t>
        </is>
      </c>
    </row>
    <row r="3">
      <c r="A3" t="inlineStr">
        <is>
          <t xml:space="preserve">
RPi4 GPIO ──[M12 IP67]─── Proxitron x3
     │
MCP3008 ──[0,5mm²]─── Keyence x12
     │
DRV8825 ──[1,5mm²]─── NEMA17 x3
     │
Relay ────[1,0mm²]─── Fluxer 24V
24V 4mm² ─────────────── MeanWell LRS-150
⭐ Massa 6mm² centrale
   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📦 ACQUISTO 11h | 5 GIORNI</t>
        </is>
      </c>
    </row>
    <row r="3">
      <c r="A3" t="inlineStr">
        <is>
          <t>Proxitron RS 48h | Keyence 72h | Guide Misumi 24h | Cavi Lapp 48h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2026-01-21T10:22:08Z</dcterms:created>
  <dcterms:modified xmlns:dcterms="http://purl.org/dc/terms/" xmlns:xsi="http://www.w3.org/2001/XMLSchema-instance" xsi:type="dcterms:W3CDTF">2026-01-21T10:22:08Z</dcterms:modified>
</cp:coreProperties>
</file>