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" sheetId="1" state="visible" r:id="rId1"/>
    <sheet xmlns:r="http://schemas.openxmlformats.org/officeDocument/2006/relationships" name="COSTI" sheetId="2" state="visible" r:id="rId2"/>
    <sheet xmlns:r="http://schemas.openxmlformats.org/officeDocument/2006/relationships" name="ROI" sheetId="3" state="visible" r:id="rId3"/>
    <sheet xmlns:r="http://schemas.openxmlformats.org/officeDocument/2006/relationships" name="PIA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"/>
    <numFmt numFmtId="165" formatCode="0.0 &quot;mesi&quot;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sz val="14"/>
    </font>
    <font>
      <b val="1"/>
      <color rgb="00008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</cols>
  <sheetData>
    <row r="1">
      <c r="A1" s="1" t="inlineStr">
        <is>
          <t>FLUX SHUTTLE PROFILER - BUSINESS CASE 1 LINEA</t>
        </is>
      </c>
    </row>
    <row r="2"/>
    <row r="3">
      <c r="A3" s="2" t="inlineStr">
        <is>
          <t>CERTIFICAZIONI EN9100+ RICHIESTE CLIENTI</t>
        </is>
      </c>
    </row>
    <row r="4"/>
    <row r="5">
      <c r="A5" t="inlineStr">
        <is>
          <t>Senza sistema = 0 ricavi Aerospace/Ferroviario</t>
        </is>
      </c>
    </row>
    <row r="6"/>
    <row r="7"/>
    <row r="8">
      <c r="A8" t="inlineStr">
        <is>
          <t>INVESTIMENTO TOTALE:</t>
        </is>
      </c>
      <c r="B8" s="3" t="n">
        <v>4750</v>
      </c>
    </row>
    <row r="9">
      <c r="A9" t="inlineStr">
        <is>
          <t>RISPARMIO MENSILE:</t>
        </is>
      </c>
      <c r="B9" s="3" t="n">
        <v>2170</v>
      </c>
    </row>
    <row r="10">
      <c r="A10" t="inlineStr">
        <is>
          <t>ROI:</t>
        </is>
      </c>
      <c r="B10" s="4">
        <f>B8/B9</f>
        <v/>
      </c>
    </row>
    <row r="11">
      <c r="A11" t="inlineStr">
        <is>
          <t>RISPARMIO ANNUO:</t>
        </is>
      </c>
      <c r="B11" s="3">
        <f>B9*12</f>
        <v/>
      </c>
    </row>
    <row r="12"/>
    <row r="13">
      <c r="A13" s="5" t="inlineStr">
        <is>
          <t>PAYBACK: 2.2 MESI - APPROVAZIONE CONSIGLIATA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15" customWidth="1" min="3" max="3"/>
    <col width="20" customWidth="1" min="4" max="4"/>
  </cols>
  <sheetData>
    <row r="1">
      <c r="A1" s="1" t="inlineStr">
        <is>
          <t>BREAKDOWN INVESTIMENTO €4.750</t>
        </is>
      </c>
    </row>
    <row r="2">
      <c r="A2" s="2" t="inlineStr">
        <is>
          <t>COMPONENTE</t>
        </is>
      </c>
      <c r="B2" s="2" t="inlineStr">
        <is>
          <t>Q.TY</t>
        </is>
      </c>
      <c r="C2" s="2" t="inlineStr">
        <is>
          <t>COSTO €</t>
        </is>
      </c>
      <c r="D2" s="2" t="inlineStr">
        <is>
          <t>NOTE</t>
        </is>
      </c>
    </row>
    <row r="3">
      <c r="A3" t="inlineStr">
        <is>
          <t>Proxitron 8046AFKM</t>
        </is>
      </c>
      <c r="B3" t="inlineStr">
        <is>
          <t>3x</t>
        </is>
      </c>
      <c r="C3" s="3" t="n">
        <v>960</v>
      </c>
      <c r="D3" t="inlineStr">
        <is>
          <t>Flow sensor</t>
        </is>
      </c>
    </row>
    <row r="4">
      <c r="A4" t="inlineStr">
        <is>
          <t>Keyence GT2</t>
        </is>
      </c>
      <c r="B4" t="inlineStr">
        <is>
          <t>12x</t>
        </is>
      </c>
      <c r="C4" s="3" t="n">
        <v>1200</v>
      </c>
      <c r="D4" t="inlineStr">
        <is>
          <t>Capacitive sensors</t>
        </is>
      </c>
    </row>
    <row r="5">
      <c r="A5" t="inlineStr">
        <is>
          <t>Raspberry Pi4 + Stepper</t>
        </is>
      </c>
      <c r="B5" t="inlineStr">
        <is>
          <t>3x</t>
        </is>
      </c>
      <c r="C5" s="3" t="n">
        <v>345</v>
      </c>
      <c r="D5" t="inlineStr">
        <is>
          <t>Controller</t>
        </is>
      </c>
    </row>
    <row r="6">
      <c r="A6" t="inlineStr">
        <is>
          <t>Telaio CNC 500x400mm</t>
        </is>
      </c>
      <c r="B6" t="inlineStr">
        <is>
          <t>3x</t>
        </is>
      </c>
      <c r="C6" s="3" t="n">
        <v>795</v>
      </c>
      <c r="D6" t="inlineStr">
        <is>
          <t>Structure</t>
        </is>
      </c>
    </row>
    <row r="7">
      <c r="A7" t="inlineStr">
        <is>
          <t>Cavi M12 PTFE</t>
        </is>
      </c>
      <c r="B7" t="inlineStr"/>
      <c r="C7" s="3" t="n">
        <v>250</v>
      </c>
      <c r="D7" t="inlineStr">
        <is>
          <t>Cabling</t>
        </is>
      </c>
    </row>
    <row r="8">
      <c r="A8" t="inlineStr">
        <is>
          <t>SUBTOTAL HARDWARE</t>
        </is>
      </c>
      <c r="B8" t="inlineStr"/>
      <c r="C8">
        <f>SUM(C3:C7)</f>
        <v/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SOFTWARE + CERTIFICAZIONI</t>
        </is>
      </c>
      <c r="B10" t="inlineStr"/>
      <c r="C10" t="inlineStr"/>
      <c r="D10" t="inlineStr"/>
    </row>
    <row r="11">
      <c r="A11" t="inlineStr">
        <is>
          <t>Dashboard Streamlit SPC</t>
        </is>
      </c>
      <c r="B11" t="inlineStr">
        <is>
          <t>30h</t>
        </is>
      </c>
      <c r="C11" s="3" t="n">
        <v>1050</v>
      </c>
      <c r="D11" t="inlineStr"/>
    </row>
    <row r="12">
      <c r="A12" t="inlineStr">
        <is>
          <t>Database EN9100</t>
        </is>
      </c>
      <c r="B12" t="inlineStr">
        <is>
          <t>15h</t>
        </is>
      </c>
      <c r="C12" s="3" t="n">
        <v>525</v>
      </c>
      <c r="D12" t="inlineStr"/>
    </row>
    <row r="13">
      <c r="A13" t="inlineStr">
        <is>
          <t>Test + Validazione</t>
        </is>
      </c>
      <c r="B13" t="inlineStr"/>
      <c r="C13" s="3" t="n">
        <v>500</v>
      </c>
      <c r="D13" t="inlineStr"/>
    </row>
    <row r="14">
      <c r="A14" t="inlineStr">
        <is>
          <t>Training operatori</t>
        </is>
      </c>
      <c r="B14" t="inlineStr"/>
      <c r="C14" s="3" t="n">
        <v>250</v>
      </c>
      <c r="D14" t="inlineStr"/>
    </row>
    <row r="15">
      <c r="A15" t="inlineStr">
        <is>
          <t>Documentazione</t>
        </is>
      </c>
      <c r="B15" t="inlineStr"/>
      <c r="C15" s="3" t="n">
        <v>150</v>
      </c>
      <c r="D15" t="inlineStr"/>
    </row>
    <row r="16">
      <c r="A16" t="inlineStr">
        <is>
          <t>SUBTOTAL SOFTWARE</t>
        </is>
      </c>
      <c r="B16" t="inlineStr"/>
      <c r="C16">
        <f>SUM(C10:C14)</f>
        <v/>
      </c>
      <c r="D16" t="inlineStr"/>
    </row>
    <row r="17">
      <c r="A17" t="inlineStr">
        <is>
          <t>GRAND TOTAL</t>
        </is>
      </c>
      <c r="B17" t="inlineStr"/>
      <c r="C17">
        <f>C8+C15</f>
        <v/>
      </c>
      <c r="D17" t="inlineStr">
        <is>
          <t>1 LINEA CERTIFICATA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13" customWidth="1" min="4" max="4"/>
  </cols>
  <sheetData>
    <row r="1">
      <c r="A1" s="1" t="inlineStr">
        <is>
          <t>RISPARMI MENSILI DETAIL</t>
        </is>
      </c>
    </row>
    <row r="2">
      <c r="A2" s="2" t="inlineStr">
        <is>
          <t>VOCE</t>
        </is>
      </c>
      <c r="B2" s="2" t="inlineStr">
        <is>
          <t>PRIMA €</t>
        </is>
      </c>
      <c r="C2" s="2" t="inlineStr">
        <is>
          <t>DOPO €</t>
        </is>
      </c>
      <c r="D2" s="2" t="inlineStr">
        <is>
          <t>RISPARMIO €</t>
        </is>
      </c>
    </row>
    <row r="3">
      <c r="A3" t="inlineStr">
        <is>
          <t>Validazione programmi</t>
        </is>
      </c>
      <c r="B3" s="3" t="n">
        <v>600</v>
      </c>
      <c r="C3" s="3" t="n">
        <v>5</v>
      </c>
      <c r="D3" s="3">
        <f>B3-C3</f>
        <v/>
      </c>
    </row>
    <row r="4">
      <c r="A4" t="inlineStr">
        <is>
          <t>Controllo manuale flux</t>
        </is>
      </c>
      <c r="B4" s="3" t="n">
        <v>400</v>
      </c>
      <c r="C4" s="3" t="n">
        <v>0</v>
      </c>
      <c r="D4" s="3">
        <f>B4-C4</f>
        <v/>
      </c>
    </row>
    <row r="5">
      <c r="A5" t="inlineStr">
        <is>
          <t>Difetti flussatura</t>
        </is>
      </c>
      <c r="B5" s="3" t="n">
        <v>1000</v>
      </c>
      <c r="C5" s="3" t="n">
        <v>200</v>
      </c>
      <c r="D5" s="3">
        <f>B5-C5</f>
        <v/>
      </c>
    </row>
    <row r="6">
      <c r="A6" t="inlineStr">
        <is>
          <t>Fermo manutenzione</t>
        </is>
      </c>
      <c r="B6" s="3" t="n">
        <v>200</v>
      </c>
      <c r="C6" s="3" t="n">
        <v>50</v>
      </c>
      <c r="D6" s="3">
        <f>B6-C6</f>
        <v/>
      </c>
    </row>
    <row r="7">
      <c r="A7" t="inlineStr">
        <is>
          <t>Preparazione audit</t>
        </is>
      </c>
      <c r="B7" s="3" t="n">
        <v>250</v>
      </c>
      <c r="C7" s="3" t="n">
        <v>25</v>
      </c>
      <c r="D7" s="3">
        <f>B7-C7</f>
        <v/>
      </c>
    </row>
    <row r="8">
      <c r="A8" t="inlineStr">
        <is>
          <t>TOTAL MENSILE</t>
        </is>
      </c>
      <c r="B8" s="3" t="inlineStr"/>
      <c r="C8" s="3" t="inlineStr"/>
      <c r="D8" s="3">
        <f>SUM(D3:D7)</f>
        <v/>
      </c>
    </row>
    <row r="9">
      <c r="A9" t="inlineStr">
        <is>
          <t>ANNUO</t>
        </is>
      </c>
      <c r="B9" s="3" t="inlineStr"/>
      <c r="C9" s="3" t="inlineStr"/>
      <c r="D9" s="3">
        <f>D8*12</f>
        <v/>
      </c>
    </row>
    <row r="10">
      <c r="A10" t="inlineStr">
        <is>
          <t>ROI vs Investimento</t>
        </is>
      </c>
      <c r="B10" s="3" t="n">
        <v>4750</v>
      </c>
      <c r="C10" s="3">
        <f>D8</f>
        <v/>
      </c>
      <c r="D10" s="3">
        <f>B9/D9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9" customWidth="1" min="4" max="4"/>
  </cols>
  <sheetData>
    <row r="1">
      <c r="A1" s="1" t="inlineStr">
        <is>
          <t>IMPLEMENTAZIONE 6 SETTIMANE</t>
        </is>
      </c>
    </row>
    <row r="2">
      <c r="A2" s="2" t="inlineStr">
        <is>
          <t>SETT</t>
        </is>
      </c>
      <c r="B2" s="2" t="inlineStr">
        <is>
          <t>ATTIVITA</t>
        </is>
      </c>
      <c r="C2" s="2" t="inlineStr">
        <is>
          <t>COSTO €</t>
        </is>
      </c>
      <c r="D2" s="2" t="inlineStr">
        <is>
          <t>MILESTONE</t>
        </is>
      </c>
    </row>
    <row r="3">
      <c r="A3" t="n">
        <v>1</v>
      </c>
      <c r="B3" t="inlineStr">
        <is>
          <t>Prototipo + codice</t>
        </is>
      </c>
      <c r="C3" s="3" t="n">
        <v>475</v>
      </c>
      <c r="D3" t="inlineStr">
        <is>
          <t>Dashboard live</t>
        </is>
      </c>
    </row>
    <row r="4">
      <c r="A4" t="n">
        <v>2</v>
      </c>
      <c r="B4" t="inlineStr">
        <is>
          <t>Test 5 programmi</t>
        </is>
      </c>
      <c r="C4" s="3" t="n">
        <v>0</v>
      </c>
      <c r="D4" t="inlineStr">
        <is>
          <t>Fluxer validato</t>
        </is>
      </c>
    </row>
    <row r="5">
      <c r="A5" t="n">
        <v>3</v>
      </c>
      <c r="B5" t="inlineStr">
        <is>
          <t>3 telai produzione</t>
        </is>
      </c>
      <c r="C5" s="3" t="n">
        <v>2350</v>
      </c>
      <c r="D5" t="inlineStr">
        <is>
          <t>Linea installata</t>
        </is>
      </c>
    </row>
    <row r="6">
      <c r="A6" t="n">
        <v>4</v>
      </c>
      <c r="B6" t="inlineStr">
        <is>
          <t>Software SPC + DB</t>
        </is>
      </c>
      <c r="C6" s="3" t="n">
        <v>1050</v>
      </c>
      <c r="D6" t="inlineStr">
        <is>
          <t>Real time 2Hz</t>
        </is>
      </c>
    </row>
    <row r="7">
      <c r="A7" t="n">
        <v>5</v>
      </c>
      <c r="B7" t="inlineStr">
        <is>
          <t>Training + certificati</t>
        </is>
      </c>
      <c r="C7" s="3" t="n">
        <v>400</v>
      </c>
      <c r="D7" t="inlineStr">
        <is>
          <t>EN9100 ready</t>
        </is>
      </c>
    </row>
    <row r="8">
      <c r="A8" t="n">
        <v>6</v>
      </c>
      <c r="B8" t="inlineStr">
        <is>
          <t>Go-Live produzione</t>
        </is>
      </c>
      <c r="C8" s="3" t="n">
        <v>475</v>
      </c>
      <c r="D8" t="inlineStr">
        <is>
          <t>LINEA CERTIFICATA</t>
        </is>
      </c>
    </row>
    <row r="9">
      <c r="A9" t="inlineStr">
        <is>
          <t>TOT</t>
        </is>
      </c>
      <c r="B9" t="inlineStr"/>
      <c r="C9">
        <f>SUM(C2:C7)</f>
        <v/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2026-01-21T09:44:23Z</dcterms:created>
  <dcterms:modified xmlns:dcterms="http://purl.org/dc/terms/" xmlns:xsi="http://www.w3.org/2001/XMLSchema-instance" xsi:type="dcterms:W3CDTF">2026-01-21T09:44:23Z</dcterms:modified>
</cp:coreProperties>
</file>